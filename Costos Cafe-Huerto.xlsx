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moty5\Downloads\"/>
    </mc:Choice>
  </mc:AlternateContent>
  <xr:revisionPtr revIDLastSave="0" documentId="13_ncr:1_{4320B1A9-40DC-4243-A3AE-429FB3BB5198}" xr6:coauthVersionLast="46" xr6:coauthVersionMax="46" xr10:uidLastSave="{00000000-0000-0000-0000-000000000000}"/>
  <bookViews>
    <workbookView xWindow="-120" yWindow="-120" windowWidth="20730" windowHeight="117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0" i="1" l="1"/>
  <c r="H4" i="1"/>
</calcChain>
</file>

<file path=xl/sharedStrings.xml><?xml version="1.0" encoding="utf-8"?>
<sst xmlns="http://schemas.openxmlformats.org/spreadsheetml/2006/main" count="130" uniqueCount="58">
  <si>
    <t>Presupuesto</t>
  </si>
  <si>
    <t>Total</t>
  </si>
  <si>
    <t>Código</t>
  </si>
  <si>
    <t>Tarea / Actividad</t>
  </si>
  <si>
    <t>Elemento</t>
  </si>
  <si>
    <t>Tipo de Recurso</t>
  </si>
  <si>
    <t>Tipo de Unidades</t>
  </si>
  <si>
    <t>Tasa</t>
  </si>
  <si>
    <t>Reunion con el cliente</t>
  </si>
  <si>
    <t>Entrevistas, cuestionarios</t>
  </si>
  <si>
    <t>Definicion de requerimientos</t>
  </si>
  <si>
    <t>Validación de requerimientos</t>
  </si>
  <si>
    <t>Entrega del documento y firma del contrato</t>
  </si>
  <si>
    <t>Reunion con el equipo de desarrollo</t>
  </si>
  <si>
    <t>Diseño de Backend</t>
  </si>
  <si>
    <t>Validar la arquitectura</t>
  </si>
  <si>
    <t>Reunion del QA</t>
  </si>
  <si>
    <t>Auditoria Interna</t>
  </si>
  <si>
    <t xml:space="preserve">Reunion con QA </t>
  </si>
  <si>
    <t>Reunion del equipo de desarrollo</t>
  </si>
  <si>
    <t>Entrega al cliente del sistema</t>
  </si>
  <si>
    <t>2.1 Calendarización
2.2 Talento
2.3 Recursos (Financiero, Tecnologicos, Humanos)
2.4 Riesgos</t>
  </si>
  <si>
    <t>3.1 Objetivos
3.2 Requerimientos funcionales
3.3 Requerimientos no funcionales
3.4 Requerimientos de información
3.5 Casos de uso
3.6 Matriz de rastreabilidad</t>
  </si>
  <si>
    <t>2.1 Cierre de contrato
2.2 Reunion final del proyecto</t>
  </si>
  <si>
    <t>2.1 Revision tecnica formal con el auditor lider.
2.2 Inoforme de la auditoria
2.3 Mejora de procesos
2.4 Certificación</t>
  </si>
  <si>
    <t>Plan de gestion del proyecto</t>
  </si>
  <si>
    <t>Validacion de la planeacion del proyecto</t>
  </si>
  <si>
    <t>Planeacion de la calidad</t>
  </si>
  <si>
    <t>5.1 Asignacion de la calidad
5.2 Plan de pruebas
5.3 Validación del Plan de calidad</t>
  </si>
  <si>
    <t>Configuración de plataforma de desarrollo y 
de tecnologia y de gestion de la configuración.</t>
  </si>
  <si>
    <t>Lider de proyecto</t>
  </si>
  <si>
    <t>Diseño de Frontend</t>
  </si>
  <si>
    <t>Auditores</t>
  </si>
  <si>
    <t>Labor</t>
  </si>
  <si>
    <t>Consultor</t>
  </si>
  <si>
    <t>Horas / Jornadas</t>
  </si>
  <si>
    <t>Tiempo</t>
  </si>
  <si>
    <t>3h</t>
  </si>
  <si>
    <t>1d</t>
  </si>
  <si>
    <t>2d</t>
  </si>
  <si>
    <t>10d</t>
  </si>
  <si>
    <t>Sprint 0 (Inicio)</t>
  </si>
  <si>
    <t>Sprint 1 (Planeación)</t>
  </si>
  <si>
    <t>Sprint 2 (Ejecución)</t>
  </si>
  <si>
    <t>Sprint 3 (Seguimiento y control)</t>
  </si>
  <si>
    <t>Sprint 4 (Cierre)</t>
  </si>
  <si>
    <t>3/4 meses</t>
  </si>
  <si>
    <t>7d</t>
  </si>
  <si>
    <t>Presupuesto: Café Huerto el mamey</t>
  </si>
  <si>
    <t>Elaborado por: Ivan Montoya Cruz</t>
  </si>
  <si>
    <t>Líder del Proyecto: [Edwin bautista garcia]</t>
  </si>
  <si>
    <t>Fecha de Inicio: [12/marzo/2021]</t>
  </si>
  <si>
    <t>Lider del proyecto</t>
  </si>
  <si>
    <t>Lider de control de calidad</t>
  </si>
  <si>
    <t xml:space="preserve">Desarrollador </t>
  </si>
  <si>
    <t>20d</t>
  </si>
  <si>
    <t>5d</t>
  </si>
  <si>
    <t xml:space="preserve">Desarrollador grafico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</si>
</sst>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 * #,##0.00_ ;_ * \-#,##0.00_ ;_ * &quot;-&quot;??_ ;_ @_ "/>
    <numFmt numFmtId="165" formatCode="0.0"/>
    <numFmt numFmtId="166" formatCode="&quot;$&quot;#,##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3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0" fillId="2" borderId="0" xfId="0" applyFont="1" applyFill="1" applyBorder="1" applyAlignment="1">
      <alignment horizontal="left" vertical="top"/>
    </xf>
    <xf numFmtId="0" fontId="3" fillId="2" borderId="1" xfId="0" applyFont="1" applyFill="1" applyBorder="1"/>
    <xf numFmtId="0" fontId="0" fillId="2" borderId="1" xfId="0" applyFill="1" applyBorder="1"/>
    <xf numFmtId="0" fontId="4" fillId="2" borderId="1" xfId="0" applyFont="1" applyFill="1" applyBorder="1"/>
    <xf numFmtId="9" fontId="0" fillId="2" borderId="1" xfId="0" applyNumberFormat="1" applyFill="1" applyBorder="1"/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/>
    <xf numFmtId="0" fontId="7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164" fontId="0" fillId="3" borderId="1" xfId="0" applyNumberFormat="1" applyFill="1" applyBorder="1" applyAlignment="1">
      <alignment horizontal="left" vertical="top"/>
    </xf>
    <xf numFmtId="0" fontId="0" fillId="2" borderId="1" xfId="0" applyFont="1" applyFill="1" applyBorder="1" applyAlignment="1">
      <alignment horizontal="left" vertical="top"/>
    </xf>
    <xf numFmtId="164" fontId="0" fillId="2" borderId="1" xfId="0" applyNumberFormat="1" applyFont="1" applyFill="1" applyBorder="1" applyAlignment="1">
      <alignment horizontal="left" vertical="top"/>
    </xf>
    <xf numFmtId="43" fontId="0" fillId="2" borderId="1" xfId="1" applyFont="1" applyFill="1" applyBorder="1" applyAlignment="1">
      <alignment horizontal="left" vertical="top"/>
    </xf>
    <xf numFmtId="0" fontId="0" fillId="0" borderId="1" xfId="0" applyBorder="1"/>
    <xf numFmtId="0" fontId="0" fillId="0" borderId="1" xfId="0" applyFont="1" applyFill="1" applyBorder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0" fontId="0" fillId="0" borderId="0" xfId="0" applyFill="1"/>
    <xf numFmtId="0" fontId="2" fillId="0" borderId="1" xfId="0" applyFont="1" applyBorder="1"/>
    <xf numFmtId="0" fontId="2" fillId="2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0" fillId="2" borderId="1" xfId="0" applyFont="1" applyFill="1" applyBorder="1" applyAlignment="1">
      <alignment horizontal="left" vertical="top" wrapText="1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wrapText="1"/>
    </xf>
    <xf numFmtId="0" fontId="0" fillId="0" borderId="1" xfId="0" applyFill="1" applyBorder="1" applyAlignment="1">
      <alignment horizontal="center" vertical="top"/>
    </xf>
    <xf numFmtId="43" fontId="0" fillId="2" borderId="1" xfId="1" applyFont="1" applyFill="1" applyBorder="1" applyAlignment="1">
      <alignment horizontal="center" vertical="top"/>
    </xf>
    <xf numFmtId="165" fontId="0" fillId="0" borderId="1" xfId="0" applyNumberFormat="1" applyBorder="1"/>
    <xf numFmtId="2" fontId="0" fillId="0" borderId="1" xfId="0" applyNumberFormat="1" applyBorder="1"/>
    <xf numFmtId="0" fontId="0" fillId="0" borderId="0" xfId="0" applyFill="1" applyBorder="1"/>
    <xf numFmtId="0" fontId="0" fillId="0" borderId="0" xfId="0" applyBorder="1"/>
    <xf numFmtId="164" fontId="6" fillId="0" borderId="1" xfId="0" applyNumberFormat="1" applyFont="1" applyFill="1" applyBorder="1"/>
    <xf numFmtId="166" fontId="7" fillId="3" borderId="1" xfId="0" applyNumberFormat="1" applyFont="1" applyFill="1" applyBorder="1"/>
    <xf numFmtId="164" fontId="7" fillId="0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6" fontId="2" fillId="0" borderId="3" xfId="0" applyNumberFormat="1" applyFont="1" applyFill="1" applyBorder="1" applyAlignment="1">
      <alignment horizontal="center" vertical="center"/>
    </xf>
    <xf numFmtId="166" fontId="2" fillId="0" borderId="2" xfId="0" applyNumberFormat="1" applyFont="1" applyFill="1" applyBorder="1" applyAlignment="1">
      <alignment horizontal="center" vertical="center"/>
    </xf>
    <xf numFmtId="166" fontId="2" fillId="0" borderId="4" xfId="0" applyNumberFormat="1" applyFont="1" applyFill="1" applyBorder="1" applyAlignment="1">
      <alignment horizontal="center" vertical="center"/>
    </xf>
    <xf numFmtId="166" fontId="2" fillId="2" borderId="3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" fillId="2" borderId="4" xfId="0" applyNumberFormat="1" applyFont="1" applyFill="1" applyBorder="1" applyAlignment="1">
      <alignment horizontal="center" vertical="center"/>
    </xf>
    <xf numFmtId="166" fontId="2" fillId="0" borderId="3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166" fontId="2" fillId="0" borderId="4" xfId="0" applyNumberFormat="1" applyFont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3"/>
  <sheetViews>
    <sheetView tabSelected="1" showWhiteSpace="0" view="pageLayout" topLeftCell="B1" zoomScale="92" zoomScaleNormal="100" zoomScalePageLayoutView="92" workbookViewId="0">
      <selection activeCell="G35" sqref="G35"/>
    </sheetView>
  </sheetViews>
  <sheetFormatPr baseColWidth="10" defaultRowHeight="15" x14ac:dyDescent="0.25"/>
  <cols>
    <col min="2" max="2" width="46.28515625" bestFit="1" customWidth="1"/>
    <col min="3" max="3" width="22.5703125" customWidth="1"/>
    <col min="4" max="4" width="16.7109375" bestFit="1" customWidth="1"/>
    <col min="5" max="5" width="18" bestFit="1" customWidth="1"/>
    <col min="7" max="7" width="15" customWidth="1"/>
    <col min="8" max="8" width="12.42578125" bestFit="1" customWidth="1"/>
  </cols>
  <sheetData>
    <row r="1" spans="1:8" ht="26.25" x14ac:dyDescent="0.4">
      <c r="A1" s="2" t="s">
        <v>48</v>
      </c>
      <c r="B1" s="3"/>
      <c r="C1" s="3"/>
      <c r="D1" s="3"/>
      <c r="E1" s="3"/>
      <c r="F1" s="3"/>
      <c r="G1" s="3"/>
      <c r="H1" s="3"/>
    </row>
    <row r="2" spans="1:8" ht="18.75" x14ac:dyDescent="0.3">
      <c r="A2" s="4" t="s">
        <v>49</v>
      </c>
      <c r="B2" s="3"/>
      <c r="C2" s="3"/>
      <c r="D2" s="3"/>
      <c r="E2" s="3"/>
      <c r="F2" s="3"/>
      <c r="G2" s="3"/>
      <c r="H2" s="5"/>
    </row>
    <row r="3" spans="1:8" ht="15.75" x14ac:dyDescent="0.25">
      <c r="A3" s="6" t="s">
        <v>50</v>
      </c>
      <c r="B3" s="3"/>
      <c r="C3" s="3"/>
      <c r="D3" s="7"/>
      <c r="E3" s="7"/>
      <c r="F3" s="8"/>
      <c r="G3" s="8" t="s">
        <v>36</v>
      </c>
      <c r="H3" s="8" t="s">
        <v>1</v>
      </c>
    </row>
    <row r="4" spans="1:8" ht="15.75" x14ac:dyDescent="0.25">
      <c r="A4" s="6" t="s">
        <v>51</v>
      </c>
      <c r="B4" s="3"/>
      <c r="C4" s="3"/>
      <c r="D4" s="8"/>
      <c r="E4" s="9"/>
      <c r="F4" s="36"/>
      <c r="G4" s="38" t="s">
        <v>46</v>
      </c>
      <c r="H4" s="37">
        <f>SUM(H8:H36)</f>
        <v>147000</v>
      </c>
    </row>
    <row r="5" spans="1:8" x14ac:dyDescent="0.25">
      <c r="A5" s="3"/>
      <c r="B5" s="3"/>
      <c r="C5" s="3"/>
      <c r="D5" s="3"/>
      <c r="E5" s="3"/>
      <c r="F5" s="3"/>
      <c r="G5" s="3"/>
      <c r="H5" s="3"/>
    </row>
    <row r="6" spans="1:8" ht="15.75" x14ac:dyDescent="0.25">
      <c r="A6" s="10" t="s">
        <v>2</v>
      </c>
      <c r="B6" s="8" t="s">
        <v>3</v>
      </c>
      <c r="C6" s="8" t="s">
        <v>4</v>
      </c>
      <c r="D6" s="8" t="s">
        <v>5</v>
      </c>
      <c r="E6" s="8" t="s">
        <v>6</v>
      </c>
      <c r="F6" s="8" t="s">
        <v>7</v>
      </c>
      <c r="G6" s="8" t="s">
        <v>36</v>
      </c>
      <c r="H6" s="8" t="s">
        <v>0</v>
      </c>
    </row>
    <row r="7" spans="1:8" x14ac:dyDescent="0.25">
      <c r="A7" s="11"/>
      <c r="B7" s="11" t="s">
        <v>41</v>
      </c>
      <c r="C7" s="12"/>
      <c r="D7" s="12"/>
      <c r="E7" s="12"/>
      <c r="F7" s="12"/>
      <c r="G7" s="12"/>
      <c r="H7" s="13"/>
    </row>
    <row r="8" spans="1:8" s="20" customFormat="1" x14ac:dyDescent="0.25">
      <c r="A8" s="23">
        <v>1</v>
      </c>
      <c r="B8" s="18" t="s">
        <v>8</v>
      </c>
      <c r="C8" s="19" t="s">
        <v>30</v>
      </c>
      <c r="D8" s="30" t="s">
        <v>33</v>
      </c>
      <c r="E8" s="1" t="s">
        <v>35</v>
      </c>
      <c r="F8" s="16">
        <v>1</v>
      </c>
      <c r="G8" s="16" t="s">
        <v>37</v>
      </c>
      <c r="H8" s="40">
        <v>10000</v>
      </c>
    </row>
    <row r="9" spans="1:8" x14ac:dyDescent="0.25">
      <c r="A9" s="24">
        <v>2</v>
      </c>
      <c r="B9" s="14" t="s">
        <v>9</v>
      </c>
      <c r="C9" s="14" t="s">
        <v>30</v>
      </c>
      <c r="D9" s="31" t="s">
        <v>33</v>
      </c>
      <c r="E9" s="16" t="s">
        <v>35</v>
      </c>
      <c r="F9" s="16">
        <v>1</v>
      </c>
      <c r="G9" s="16" t="s">
        <v>39</v>
      </c>
      <c r="H9" s="41"/>
    </row>
    <row r="10" spans="1:8" x14ac:dyDescent="0.25">
      <c r="A10" s="24">
        <v>3</v>
      </c>
      <c r="B10" s="14" t="s">
        <v>10</v>
      </c>
      <c r="C10" s="14" t="s">
        <v>53</v>
      </c>
      <c r="D10" s="31" t="s">
        <v>33</v>
      </c>
      <c r="E10" s="16" t="s">
        <v>35</v>
      </c>
      <c r="F10" s="16">
        <v>1</v>
      </c>
      <c r="G10" s="16" t="s">
        <v>40</v>
      </c>
      <c r="H10" s="41"/>
    </row>
    <row r="11" spans="1:8" ht="90" x14ac:dyDescent="0.25">
      <c r="A11" s="24"/>
      <c r="B11" s="27" t="s">
        <v>22</v>
      </c>
      <c r="C11" s="14"/>
      <c r="D11" s="31"/>
      <c r="E11" s="16"/>
      <c r="F11" s="16"/>
      <c r="G11" s="16"/>
      <c r="H11" s="41"/>
    </row>
    <row r="12" spans="1:8" x14ac:dyDescent="0.25">
      <c r="A12" s="24">
        <v>4</v>
      </c>
      <c r="B12" s="14" t="s">
        <v>8</v>
      </c>
      <c r="C12" s="14" t="s">
        <v>52</v>
      </c>
      <c r="D12" s="31" t="s">
        <v>33</v>
      </c>
      <c r="E12" s="16" t="s">
        <v>35</v>
      </c>
      <c r="F12" s="16">
        <v>1</v>
      </c>
      <c r="G12" s="16" t="s">
        <v>37</v>
      </c>
      <c r="H12" s="41"/>
    </row>
    <row r="13" spans="1:8" x14ac:dyDescent="0.25">
      <c r="A13" s="24">
        <v>5</v>
      </c>
      <c r="B13" s="14" t="s">
        <v>11</v>
      </c>
      <c r="C13" s="14" t="s">
        <v>53</v>
      </c>
      <c r="D13" s="31" t="s">
        <v>33</v>
      </c>
      <c r="E13" s="16" t="s">
        <v>35</v>
      </c>
      <c r="F13" s="16">
        <v>1</v>
      </c>
      <c r="G13" s="16" t="s">
        <v>56</v>
      </c>
      <c r="H13" s="41"/>
    </row>
    <row r="14" spans="1:8" x14ac:dyDescent="0.25">
      <c r="A14" s="24">
        <v>6</v>
      </c>
      <c r="B14" s="14" t="s">
        <v>12</v>
      </c>
      <c r="C14" s="14" t="s">
        <v>30</v>
      </c>
      <c r="D14" s="31" t="s">
        <v>33</v>
      </c>
      <c r="E14" s="16" t="s">
        <v>35</v>
      </c>
      <c r="F14" s="16">
        <v>1</v>
      </c>
      <c r="G14" s="16" t="s">
        <v>38</v>
      </c>
      <c r="H14" s="42"/>
    </row>
    <row r="15" spans="1:8" x14ac:dyDescent="0.25">
      <c r="A15" s="24"/>
      <c r="B15" s="28" t="s">
        <v>42</v>
      </c>
      <c r="C15" s="14"/>
      <c r="D15" s="16"/>
      <c r="E15" s="16"/>
      <c r="F15" s="16"/>
      <c r="G15" s="16"/>
      <c r="H15" s="15"/>
    </row>
    <row r="16" spans="1:8" x14ac:dyDescent="0.25">
      <c r="A16" s="24">
        <v>1</v>
      </c>
      <c r="B16" s="26" t="s">
        <v>13</v>
      </c>
      <c r="C16" s="14" t="s">
        <v>30</v>
      </c>
      <c r="D16" s="31" t="s">
        <v>33</v>
      </c>
      <c r="E16" s="16" t="s">
        <v>35</v>
      </c>
      <c r="F16" s="16">
        <v>1</v>
      </c>
      <c r="G16" s="16" t="s">
        <v>37</v>
      </c>
      <c r="H16" s="43">
        <v>51000</v>
      </c>
    </row>
    <row r="17" spans="1:8" x14ac:dyDescent="0.25">
      <c r="A17" s="24">
        <v>2</v>
      </c>
      <c r="B17" s="26" t="s">
        <v>25</v>
      </c>
      <c r="C17" s="14" t="s">
        <v>53</v>
      </c>
      <c r="D17" s="31" t="s">
        <v>33</v>
      </c>
      <c r="E17" s="16" t="s">
        <v>35</v>
      </c>
      <c r="F17" s="16">
        <v>1</v>
      </c>
      <c r="G17" s="16" t="s">
        <v>39</v>
      </c>
      <c r="H17" s="44"/>
    </row>
    <row r="18" spans="1:8" ht="60" x14ac:dyDescent="0.25">
      <c r="A18" s="24"/>
      <c r="B18" s="26" t="s">
        <v>21</v>
      </c>
      <c r="C18" s="14"/>
      <c r="D18" s="31"/>
      <c r="E18" s="16"/>
      <c r="F18" s="16"/>
      <c r="G18" s="16"/>
      <c r="H18" s="44"/>
    </row>
    <row r="19" spans="1:8" x14ac:dyDescent="0.25">
      <c r="A19" s="24">
        <v>3</v>
      </c>
      <c r="B19" s="26" t="s">
        <v>26</v>
      </c>
      <c r="C19" s="14" t="s">
        <v>53</v>
      </c>
      <c r="D19" s="31" t="s">
        <v>33</v>
      </c>
      <c r="E19" s="16" t="s">
        <v>35</v>
      </c>
      <c r="F19" s="16">
        <v>1</v>
      </c>
      <c r="G19" s="16" t="s">
        <v>38</v>
      </c>
      <c r="H19" s="44"/>
    </row>
    <row r="20" spans="1:8" x14ac:dyDescent="0.25">
      <c r="A20" s="24">
        <v>4</v>
      </c>
      <c r="B20" s="26" t="s">
        <v>13</v>
      </c>
      <c r="C20" s="14" t="s">
        <v>30</v>
      </c>
      <c r="D20" s="31" t="s">
        <v>33</v>
      </c>
      <c r="E20" s="16" t="s">
        <v>35</v>
      </c>
      <c r="F20" s="16">
        <v>1</v>
      </c>
      <c r="G20" s="16" t="s">
        <v>37</v>
      </c>
      <c r="H20" s="44"/>
    </row>
    <row r="21" spans="1:8" x14ac:dyDescent="0.25">
      <c r="A21" s="24">
        <v>5</v>
      </c>
      <c r="B21" s="26" t="s">
        <v>27</v>
      </c>
      <c r="C21" s="14" t="s">
        <v>53</v>
      </c>
      <c r="D21" s="31" t="s">
        <v>33</v>
      </c>
      <c r="E21" s="16" t="s">
        <v>35</v>
      </c>
      <c r="F21" s="16">
        <v>1</v>
      </c>
      <c r="G21" s="16" t="s">
        <v>39</v>
      </c>
      <c r="H21" s="45"/>
    </row>
    <row r="22" spans="1:8" ht="45" x14ac:dyDescent="0.25">
      <c r="A22" s="24"/>
      <c r="B22" s="26" t="s">
        <v>28</v>
      </c>
      <c r="C22" s="14"/>
      <c r="D22" s="16"/>
      <c r="E22" s="16"/>
      <c r="F22" s="16"/>
      <c r="G22" s="16"/>
      <c r="H22" s="15"/>
    </row>
    <row r="23" spans="1:8" x14ac:dyDescent="0.25">
      <c r="A23" s="25"/>
      <c r="B23" s="21" t="s">
        <v>43</v>
      </c>
      <c r="C23" s="17"/>
      <c r="D23" s="17"/>
      <c r="E23" s="17"/>
      <c r="F23" s="32"/>
      <c r="G23" s="32"/>
      <c r="H23" s="17"/>
    </row>
    <row r="24" spans="1:8" x14ac:dyDescent="0.25">
      <c r="A24" s="24">
        <v>1</v>
      </c>
      <c r="B24" s="14" t="s">
        <v>13</v>
      </c>
      <c r="C24" s="17" t="s">
        <v>30</v>
      </c>
      <c r="D24" s="39" t="s">
        <v>33</v>
      </c>
      <c r="E24" s="17" t="s">
        <v>35</v>
      </c>
      <c r="F24" s="33">
        <v>1</v>
      </c>
      <c r="G24" s="33" t="s">
        <v>37</v>
      </c>
      <c r="H24" s="46">
        <v>51000</v>
      </c>
    </row>
    <row r="25" spans="1:8" ht="30" x14ac:dyDescent="0.25">
      <c r="A25" s="24">
        <v>2</v>
      </c>
      <c r="B25" s="26" t="s">
        <v>29</v>
      </c>
      <c r="C25" s="17" t="s">
        <v>54</v>
      </c>
      <c r="D25" s="39" t="s">
        <v>33</v>
      </c>
      <c r="E25" s="17" t="s">
        <v>35</v>
      </c>
      <c r="F25" s="33">
        <v>1</v>
      </c>
      <c r="G25" s="33" t="s">
        <v>56</v>
      </c>
      <c r="H25" s="47"/>
    </row>
    <row r="26" spans="1:8" x14ac:dyDescent="0.25">
      <c r="A26" s="24">
        <v>3</v>
      </c>
      <c r="B26" s="14" t="s">
        <v>14</v>
      </c>
      <c r="C26" s="17" t="s">
        <v>54</v>
      </c>
      <c r="D26" s="39" t="s">
        <v>33</v>
      </c>
      <c r="E26" s="17" t="s">
        <v>35</v>
      </c>
      <c r="F26" s="33">
        <v>1</v>
      </c>
      <c r="G26" s="33" t="s">
        <v>55</v>
      </c>
      <c r="H26" s="47"/>
    </row>
    <row r="27" spans="1:8" x14ac:dyDescent="0.25">
      <c r="A27" s="24">
        <v>4</v>
      </c>
      <c r="B27" s="14" t="s">
        <v>31</v>
      </c>
      <c r="C27" s="17" t="s">
        <v>57</v>
      </c>
      <c r="D27" s="39" t="s">
        <v>33</v>
      </c>
      <c r="E27" s="17" t="s">
        <v>35</v>
      </c>
      <c r="F27" s="33">
        <v>1</v>
      </c>
      <c r="G27" s="33" t="s">
        <v>47</v>
      </c>
      <c r="H27" s="47"/>
    </row>
    <row r="28" spans="1:8" x14ac:dyDescent="0.25">
      <c r="A28" s="24">
        <v>5</v>
      </c>
      <c r="B28" s="14" t="s">
        <v>15</v>
      </c>
      <c r="C28" s="17" t="s">
        <v>53</v>
      </c>
      <c r="D28" s="39" t="s">
        <v>33</v>
      </c>
      <c r="E28" s="17" t="s">
        <v>35</v>
      </c>
      <c r="F28" s="33">
        <v>1</v>
      </c>
      <c r="G28" s="33" t="s">
        <v>38</v>
      </c>
      <c r="H28" s="48"/>
    </row>
    <row r="29" spans="1:8" x14ac:dyDescent="0.25">
      <c r="A29" s="25"/>
      <c r="B29" s="22" t="s">
        <v>44</v>
      </c>
      <c r="C29" s="17"/>
      <c r="D29" s="39"/>
      <c r="E29" s="17"/>
      <c r="F29" s="33"/>
      <c r="G29" s="33"/>
      <c r="H29" s="17"/>
    </row>
    <row r="30" spans="1:8" x14ac:dyDescent="0.25">
      <c r="A30" s="24">
        <v>1</v>
      </c>
      <c r="B30" s="14" t="s">
        <v>16</v>
      </c>
      <c r="C30" s="17" t="s">
        <v>30</v>
      </c>
      <c r="D30" s="39" t="s">
        <v>33</v>
      </c>
      <c r="E30" s="17" t="s">
        <v>35</v>
      </c>
      <c r="F30" s="33">
        <v>1</v>
      </c>
      <c r="G30" s="33" t="s">
        <v>38</v>
      </c>
      <c r="H30" s="46">
        <v>10000</v>
      </c>
    </row>
    <row r="31" spans="1:8" x14ac:dyDescent="0.25">
      <c r="A31" s="24">
        <v>2</v>
      </c>
      <c r="B31" s="14" t="s">
        <v>17</v>
      </c>
      <c r="C31" s="17" t="s">
        <v>32</v>
      </c>
      <c r="D31" s="39" t="s">
        <v>34</v>
      </c>
      <c r="E31" s="17" t="s">
        <v>35</v>
      </c>
      <c r="F31" s="33">
        <v>1</v>
      </c>
      <c r="G31" s="33" t="s">
        <v>38</v>
      </c>
      <c r="H31" s="47"/>
    </row>
    <row r="32" spans="1:8" ht="60" x14ac:dyDescent="0.25">
      <c r="A32" s="24"/>
      <c r="B32" s="26" t="s">
        <v>24</v>
      </c>
      <c r="C32" s="17"/>
      <c r="D32" s="17"/>
      <c r="E32" s="17"/>
      <c r="F32" s="33"/>
      <c r="G32" s="33"/>
      <c r="H32" s="47"/>
    </row>
    <row r="33" spans="1:8" x14ac:dyDescent="0.25">
      <c r="A33" s="24">
        <v>3</v>
      </c>
      <c r="B33" s="14" t="s">
        <v>18</v>
      </c>
      <c r="C33" s="17" t="s">
        <v>30</v>
      </c>
      <c r="D33" s="39" t="s">
        <v>33</v>
      </c>
      <c r="E33" s="17" t="s">
        <v>35</v>
      </c>
      <c r="F33" s="33">
        <v>1</v>
      </c>
      <c r="G33" s="33" t="s">
        <v>38</v>
      </c>
      <c r="H33" s="48"/>
    </row>
    <row r="34" spans="1:8" x14ac:dyDescent="0.25">
      <c r="A34" s="25"/>
      <c r="B34" s="22" t="s">
        <v>45</v>
      </c>
      <c r="C34" s="17"/>
      <c r="D34" s="39"/>
      <c r="E34" s="17"/>
      <c r="F34" s="33"/>
      <c r="G34" s="33"/>
      <c r="H34" s="17"/>
    </row>
    <row r="35" spans="1:8" x14ac:dyDescent="0.25">
      <c r="A35" s="24">
        <v>1</v>
      </c>
      <c r="B35" s="14" t="s">
        <v>19</v>
      </c>
      <c r="C35" s="17" t="s">
        <v>30</v>
      </c>
      <c r="D35" s="39" t="s">
        <v>33</v>
      </c>
      <c r="E35" s="17" t="s">
        <v>35</v>
      </c>
      <c r="F35" s="33">
        <v>1</v>
      </c>
      <c r="G35" s="33" t="s">
        <v>38</v>
      </c>
      <c r="H35" s="46">
        <v>25000</v>
      </c>
    </row>
    <row r="36" spans="1:8" x14ac:dyDescent="0.25">
      <c r="A36" s="25">
        <v>2</v>
      </c>
      <c r="B36" s="14" t="s">
        <v>20</v>
      </c>
      <c r="C36" s="17" t="s">
        <v>30</v>
      </c>
      <c r="D36" s="39" t="s">
        <v>33</v>
      </c>
      <c r="E36" s="17" t="s">
        <v>35</v>
      </c>
      <c r="F36" s="33">
        <v>1</v>
      </c>
      <c r="G36" s="33" t="s">
        <v>37</v>
      </c>
      <c r="H36" s="47"/>
    </row>
    <row r="37" spans="1:8" ht="30" x14ac:dyDescent="0.25">
      <c r="A37" s="17"/>
      <c r="B37" s="29" t="s">
        <v>23</v>
      </c>
      <c r="C37" s="17"/>
      <c r="D37" s="17"/>
      <c r="E37" s="17"/>
      <c r="F37" s="32"/>
      <c r="G37" s="32"/>
      <c r="H37" s="48"/>
    </row>
    <row r="38" spans="1:8" x14ac:dyDescent="0.25">
      <c r="F38" s="34"/>
      <c r="G38" s="34"/>
    </row>
    <row r="39" spans="1:8" x14ac:dyDescent="0.25">
      <c r="F39" s="34"/>
      <c r="G39" s="34"/>
      <c r="H39" s="35"/>
    </row>
    <row r="40" spans="1:8" x14ac:dyDescent="0.25">
      <c r="E40">
        <f>2+10+3+3+2+1+3+2+5+20+7+1+1+1+1</f>
        <v>62</v>
      </c>
      <c r="F40" s="34"/>
      <c r="G40" s="34"/>
      <c r="H40" s="35"/>
    </row>
    <row r="41" spans="1:8" x14ac:dyDescent="0.25">
      <c r="F41" s="34"/>
      <c r="G41" s="34"/>
      <c r="H41" s="35"/>
    </row>
    <row r="42" spans="1:8" x14ac:dyDescent="0.25">
      <c r="F42" s="34"/>
      <c r="G42" s="34"/>
      <c r="H42" s="35"/>
    </row>
    <row r="43" spans="1:8" x14ac:dyDescent="0.25">
      <c r="F43" s="34"/>
      <c r="G43" s="34"/>
      <c r="H43" s="35"/>
    </row>
    <row r="44" spans="1:8" x14ac:dyDescent="0.25">
      <c r="F44" s="34"/>
      <c r="G44" s="34"/>
      <c r="H44" s="35"/>
    </row>
    <row r="45" spans="1:8" x14ac:dyDescent="0.25">
      <c r="F45" s="34"/>
      <c r="G45" s="34"/>
      <c r="H45" s="35"/>
    </row>
    <row r="46" spans="1:8" x14ac:dyDescent="0.25">
      <c r="F46" s="34"/>
      <c r="G46" s="34"/>
      <c r="H46" s="35"/>
    </row>
    <row r="47" spans="1:8" x14ac:dyDescent="0.25">
      <c r="F47" s="34"/>
      <c r="G47" s="34"/>
      <c r="H47" s="35"/>
    </row>
    <row r="48" spans="1:8" x14ac:dyDescent="0.25">
      <c r="F48" s="34"/>
      <c r="G48" s="34"/>
      <c r="H48" s="35"/>
    </row>
    <row r="49" spans="6:8" x14ac:dyDescent="0.25">
      <c r="F49" s="34"/>
      <c r="G49" s="34"/>
      <c r="H49" s="35"/>
    </row>
    <row r="50" spans="6:8" x14ac:dyDescent="0.25">
      <c r="F50" s="34"/>
      <c r="G50" s="34"/>
      <c r="H50" s="35"/>
    </row>
    <row r="51" spans="6:8" x14ac:dyDescent="0.25">
      <c r="F51" s="34"/>
      <c r="G51" s="34"/>
      <c r="H51" s="35"/>
    </row>
    <row r="52" spans="6:8" x14ac:dyDescent="0.25">
      <c r="F52" s="34"/>
      <c r="G52" s="34"/>
      <c r="H52" s="35"/>
    </row>
    <row r="53" spans="6:8" x14ac:dyDescent="0.25">
      <c r="F53" s="34"/>
      <c r="G53" s="34"/>
      <c r="H53" s="35"/>
    </row>
  </sheetData>
  <mergeCells count="5">
    <mergeCell ref="H8:H14"/>
    <mergeCell ref="H16:H21"/>
    <mergeCell ref="H24:H28"/>
    <mergeCell ref="H30:H33"/>
    <mergeCell ref="H35:H37"/>
  </mergeCells>
  <pageMargins left="0.59055118110236227" right="0.59055118110236227" top="0.74803149606299213" bottom="0.74803149606299213" header="0.31496062992125984" footer="0.31496062992125984"/>
  <pageSetup paperSize="5" fitToHeight="0" orientation="landscape" horizontalDpi="4294967292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Ivan Mc</cp:lastModifiedBy>
  <cp:lastPrinted>2017-11-14T07:40:41Z</cp:lastPrinted>
  <dcterms:created xsi:type="dcterms:W3CDTF">2017-11-14T06:51:15Z</dcterms:created>
  <dcterms:modified xsi:type="dcterms:W3CDTF">2021-03-14T06:28:40Z</dcterms:modified>
</cp:coreProperties>
</file>